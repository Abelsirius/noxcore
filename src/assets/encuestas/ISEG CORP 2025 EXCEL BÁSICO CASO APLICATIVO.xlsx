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xcore_proyect\src\assets\encuestas\"/>
    </mc:Choice>
  </mc:AlternateContent>
  <xr:revisionPtr revIDLastSave="0" documentId="13_ncr:1_{10A76971-1FEE-4AAB-8BDB-BCE78FB36487}" xr6:coauthVersionLast="47" xr6:coauthVersionMax="47" xr10:uidLastSave="{00000000-0000-0000-0000-000000000000}"/>
  <bookViews>
    <workbookView xWindow="-120" yWindow="-120" windowWidth="29040" windowHeight="15720" activeTab="1" xr2:uid="{1C0E2217-4EEB-4BDD-871B-50656A81D4A9}"/>
  </bookViews>
  <sheets>
    <sheet name="Caso" sheetId="7" r:id="rId1"/>
    <sheet name="BD Merma" sheetId="6" r:id="rId2"/>
  </sheets>
  <definedNames>
    <definedName name="_xlnm._FilterDatabase" localSheetId="1" hidden="1">'BD Merma'!$A$1:$K$1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6" l="1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I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P6" i="6" l="1"/>
  <c r="P3" i="6"/>
  <c r="I24" i="6"/>
  <c r="J10" i="6" l="1"/>
  <c r="J5" i="6"/>
  <c r="J8" i="6"/>
  <c r="J15" i="6"/>
  <c r="J19" i="6"/>
  <c r="J2" i="6"/>
  <c r="J11" i="6"/>
  <c r="J6" i="6"/>
  <c r="J7" i="6"/>
  <c r="J18" i="6"/>
  <c r="J14" i="6"/>
  <c r="J17" i="6"/>
  <c r="J3" i="6"/>
  <c r="J9" i="6"/>
  <c r="J13" i="6"/>
  <c r="J23" i="6"/>
  <c r="J4" i="6"/>
  <c r="J21" i="6"/>
  <c r="J16" i="6"/>
  <c r="J20" i="6"/>
  <c r="J12" i="6"/>
  <c r="J22" i="6"/>
  <c r="J24" i="6" l="1"/>
</calcChain>
</file>

<file path=xl/sharedStrings.xml><?xml version="1.0" encoding="utf-8"?>
<sst xmlns="http://schemas.openxmlformats.org/spreadsheetml/2006/main" count="141" uniqueCount="112">
  <si>
    <t>1. Limpiar la Base de Datos:</t>
  </si>
  <si>
    <t>Elimina duplicados.</t>
  </si>
  <si>
    <r>
      <t xml:space="preserve">Resaltar productos donde la </t>
    </r>
    <r>
      <rPr>
        <b/>
        <sz val="11"/>
        <color theme="1"/>
        <rFont val="Calibri"/>
        <family val="2"/>
        <scheme val="minor"/>
      </rPr>
      <t>Cantidad Perdida &gt; 10</t>
    </r>
    <r>
      <rPr>
        <sz val="11"/>
        <color theme="1"/>
        <rFont val="Calibri"/>
        <family val="2"/>
        <scheme val="minor"/>
      </rPr>
      <t xml:space="preserve"> unidades.</t>
    </r>
  </si>
  <si>
    <t>Agrega una columna del Costo total perdido (=Costo Unitario * Cantidad Perdida).</t>
  </si>
  <si>
    <t>4. Usar Funciones Básicas:</t>
  </si>
  <si>
    <t>¿Cuál es el producto con mayor merma? (MAX).</t>
  </si>
  <si>
    <t>¿Cuál es el promedio de merma por producto? (PROMEDIO).</t>
  </si>
  <si>
    <t>Producto</t>
  </si>
  <si>
    <t>Costo Unitario</t>
  </si>
  <si>
    <t>Cantidad Perdida</t>
  </si>
  <si>
    <t>Tienda</t>
  </si>
  <si>
    <t>Juan Pérez</t>
  </si>
  <si>
    <t>juan perez</t>
  </si>
  <si>
    <t>Responsable</t>
  </si>
  <si>
    <t>INDICACIONES</t>
  </si>
  <si>
    <t>Código</t>
  </si>
  <si>
    <t>Fecha Registro</t>
  </si>
  <si>
    <t>P001</t>
  </si>
  <si>
    <t>Tottus</t>
  </si>
  <si>
    <t>juan pérez</t>
  </si>
  <si>
    <t>ana ruiz</t>
  </si>
  <si>
    <t>P003</t>
  </si>
  <si>
    <t>metro</t>
  </si>
  <si>
    <t>luis diaz</t>
  </si>
  <si>
    <t>Metro</t>
  </si>
  <si>
    <t>P005</t>
  </si>
  <si>
    <t>Wong</t>
  </si>
  <si>
    <t>elena soto</t>
  </si>
  <si>
    <t>P006</t>
  </si>
  <si>
    <t>plaza vea</t>
  </si>
  <si>
    <t>P007</t>
  </si>
  <si>
    <t>TOTTUS</t>
  </si>
  <si>
    <t>P008</t>
  </si>
  <si>
    <t>PLAZA VEA</t>
  </si>
  <si>
    <t>tOttuS</t>
  </si>
  <si>
    <t>P011</t>
  </si>
  <si>
    <t>wong</t>
  </si>
  <si>
    <t>ELENA SOTO</t>
  </si>
  <si>
    <t>P014</t>
  </si>
  <si>
    <t>P015</t>
  </si>
  <si>
    <t>P016</t>
  </si>
  <si>
    <t>P017</t>
  </si>
  <si>
    <t>tottus</t>
  </si>
  <si>
    <t>P018</t>
  </si>
  <si>
    <t>Ana Ruiz</t>
  </si>
  <si>
    <t>P019</t>
  </si>
  <si>
    <t>P021</t>
  </si>
  <si>
    <t>Luis Díaz</t>
  </si>
  <si>
    <t>P022</t>
  </si>
  <si>
    <t>P023</t>
  </si>
  <si>
    <t>P024</t>
  </si>
  <si>
    <t>P025</t>
  </si>
  <si>
    <t>Plaza Vea</t>
  </si>
  <si>
    <t>P027</t>
  </si>
  <si>
    <t>P028</t>
  </si>
  <si>
    <t>P029</t>
  </si>
  <si>
    <t>P030</t>
  </si>
  <si>
    <t>Usa =ESPACIOS() para eliminar espacios en blanco.</t>
  </si>
  <si>
    <t>Usa =MAYUSC() o =NOMPROPIO() para estandarizar texto.</t>
  </si>
  <si>
    <r>
      <rPr>
        <b/>
        <sz val="11"/>
        <color theme="1"/>
        <rFont val="Calibri"/>
        <family val="2"/>
        <scheme val="minor"/>
      </rPr>
      <t>Ejemplo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Producto:</t>
    </r>
    <r>
      <rPr>
        <sz val="11"/>
        <color theme="1"/>
        <rFont val="Calibri"/>
        <family val="2"/>
        <scheme val="minor"/>
      </rPr>
      <t xml:space="preserve"> Leche Gloria
</t>
    </r>
    <r>
      <rPr>
        <b/>
        <sz val="11"/>
        <color theme="1"/>
        <rFont val="Calibri"/>
        <family val="2"/>
        <scheme val="minor"/>
      </rPr>
      <t>Presentación:</t>
    </r>
    <r>
      <rPr>
        <sz val="11"/>
        <color theme="1"/>
        <rFont val="Calibri"/>
        <family val="2"/>
        <scheme val="minor"/>
      </rPr>
      <t xml:space="preserve"> 400g</t>
    </r>
  </si>
  <si>
    <r>
      <t xml:space="preserve">Separa “Producto” en dos columnas usando “Texto en columnas”: </t>
    </r>
    <r>
      <rPr>
        <b/>
        <sz val="11"/>
        <color theme="1"/>
        <rFont val="Calibri"/>
        <family val="2"/>
        <scheme val="minor"/>
      </rPr>
      <t>"Producto"</t>
    </r>
    <r>
      <rPr>
        <sz val="11"/>
        <color theme="1"/>
        <rFont val="Calibri"/>
        <family val="2"/>
        <scheme val="minor"/>
      </rPr>
      <t xml:space="preserve"> y </t>
    </r>
    <r>
      <rPr>
        <b/>
        <sz val="11"/>
        <color theme="1"/>
        <rFont val="Calibri"/>
        <family val="2"/>
        <scheme val="minor"/>
      </rPr>
      <t>"Presentación"</t>
    </r>
  </si>
  <si>
    <t>2. Crear Cálculos Básicos:</t>
  </si>
  <si>
    <t>3. Aplicar Formatos Condicionales:</t>
  </si>
  <si>
    <t>Ordener la información en base a la "Fecha de Registro".</t>
  </si>
  <si>
    <t>Agrega una columna del % del Costo perdido respecto al total</t>
  </si>
  <si>
    <t>*Aplicar referencias relativas y absolutas</t>
  </si>
  <si>
    <t>Agregar la columna "Responsable y Tienda" (usar CONCATENAR)</t>
  </si>
  <si>
    <t>Cerveza Pilsen</t>
  </si>
  <si>
    <t xml:space="preserve"> 400G</t>
  </si>
  <si>
    <t>Yogurt Gloria fresa</t>
  </si>
  <si>
    <t xml:space="preserve"> 1L</t>
  </si>
  <si>
    <t>ATUN Primor</t>
  </si>
  <si>
    <t xml:space="preserve"> 170 g</t>
  </si>
  <si>
    <t>arroz costeño</t>
  </si>
  <si>
    <t xml:space="preserve"> 1Kg</t>
  </si>
  <si>
    <t xml:space="preserve"> 1kg</t>
  </si>
  <si>
    <t>Azucar rubia</t>
  </si>
  <si>
    <t xml:space="preserve"> 1 kg</t>
  </si>
  <si>
    <t>Galleta field soda</t>
  </si>
  <si>
    <t xml:space="preserve"> 12u</t>
  </si>
  <si>
    <t>ACEITE PRIMOR</t>
  </si>
  <si>
    <t xml:space="preserve"> 1 L</t>
  </si>
  <si>
    <t>Arroz costeño</t>
  </si>
  <si>
    <t xml:space="preserve"> 5KG</t>
  </si>
  <si>
    <t>aceite primor</t>
  </si>
  <si>
    <t xml:space="preserve"> 400g</t>
  </si>
  <si>
    <t>REFRESCO kola real</t>
  </si>
  <si>
    <t xml:space="preserve"> 3L</t>
  </si>
  <si>
    <t xml:space="preserve"> 3l</t>
  </si>
  <si>
    <t>Gaseosa coca cola</t>
  </si>
  <si>
    <t xml:space="preserve"> 2.5L</t>
  </si>
  <si>
    <t xml:space="preserve"> 620ml</t>
  </si>
  <si>
    <t xml:space="preserve"> 500g</t>
  </si>
  <si>
    <t>Pan Bimbo integral</t>
  </si>
  <si>
    <t>pan bimbo blanco</t>
  </si>
  <si>
    <t>Galleta morochas</t>
  </si>
  <si>
    <t xml:space="preserve"> 6u</t>
  </si>
  <si>
    <t>YOGURT gloria durazno</t>
  </si>
  <si>
    <t>ARROZ paisana</t>
  </si>
  <si>
    <t>AZÚCAR blanca</t>
  </si>
  <si>
    <t>cereal ángel choco</t>
  </si>
  <si>
    <t xml:space="preserve"> 300g</t>
  </si>
  <si>
    <t>cereal ángel frutas</t>
  </si>
  <si>
    <t>gaseosa inca kola</t>
  </si>
  <si>
    <t>Presentación</t>
  </si>
  <si>
    <t>Costo tota perdidol</t>
  </si>
  <si>
    <t>% del Costo perdido respecto al total</t>
  </si>
  <si>
    <t xml:space="preserve">El producto con mayor merma es </t>
  </si>
  <si>
    <t xml:space="preserve">El promedio de merma por producto es </t>
  </si>
  <si>
    <t>Responsable y Tienda</t>
  </si>
  <si>
    <t>Leche Gloria</t>
  </si>
  <si>
    <t>Leche Gloria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</si>
</sst>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_-[$$-80A]* #,##0.00_-;\-[$$-80A]* #,##0.00_-;_-[$$-80A]* &quot;-&quot;??_-;_-@_-"/>
    <numFmt numFmtId="166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4" fillId="0" borderId="0" xfId="0" applyFont="1" applyAlignment="1">
      <alignment horizontal="left" vertical="center" indent="2"/>
    </xf>
    <xf numFmtId="0" fontId="5" fillId="0" borderId="0" xfId="0" applyFont="1"/>
    <xf numFmtId="0" fontId="1" fillId="2" borderId="0" xfId="0" applyFont="1" applyFill="1" applyAlignment="1">
      <alignment horizontal="center" vertical="center" wrapText="1"/>
    </xf>
    <xf numFmtId="2" fontId="0" fillId="0" borderId="0" xfId="0" applyNumberFormat="1"/>
    <xf numFmtId="165" fontId="0" fillId="0" borderId="2" xfId="0" applyNumberFormat="1" applyBorder="1" applyAlignment="1">
      <alignment vertical="center" wrapText="1"/>
    </xf>
    <xf numFmtId="166" fontId="0" fillId="0" borderId="1" xfId="1" applyNumberFormat="1" applyFont="1" applyBorder="1" applyAlignment="1">
      <alignment vertical="center" wrapText="1"/>
    </xf>
    <xf numFmtId="9" fontId="0" fillId="0" borderId="1" xfId="1" applyFont="1" applyBorder="1"/>
    <xf numFmtId="2" fontId="0" fillId="0" borderId="1" xfId="0" applyNumberFormat="1" applyBorder="1"/>
    <xf numFmtId="0" fontId="0" fillId="3" borderId="0" xfId="0" applyFill="1"/>
    <xf numFmtId="9" fontId="0" fillId="0" borderId="0" xfId="1" applyFont="1" applyBorder="1"/>
    <xf numFmtId="166" fontId="0" fillId="0" borderId="1" xfId="1" applyNumberFormat="1" applyFont="1" applyBorder="1" applyAlignment="1">
      <alignment vertical="center"/>
    </xf>
    <xf numFmtId="0" fontId="0" fillId="0" borderId="0" xfId="0" applyAlignment="1">
      <alignment horizontal="left" vertical="center" wrapText="1" indent="4"/>
    </xf>
    <xf numFmtId="0" fontId="0" fillId="3" borderId="0" xfId="0" applyFill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orcentaje" xfId="1" builtinId="5"/>
  </cellStyles>
  <dxfs count="2"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0</xdr:row>
      <xdr:rowOff>95251</xdr:rowOff>
    </xdr:from>
    <xdr:to>
      <xdr:col>8</xdr:col>
      <xdr:colOff>628650</xdr:colOff>
      <xdr:row>5</xdr:row>
      <xdr:rowOff>171450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ED83A9C0-ED79-466D-9DAB-76C5AB9BCEFB}"/>
            </a:ext>
          </a:extLst>
        </xdr:cNvPr>
        <xdr:cNvSpPr txBox="1"/>
      </xdr:nvSpPr>
      <xdr:spPr>
        <a:xfrm>
          <a:off x="57149" y="95251"/>
          <a:ext cx="6667501" cy="1028699"/>
        </a:xfrm>
        <a:prstGeom prst="rect">
          <a:avLst/>
        </a:prstGeom>
        <a:noFill/>
        <a:ln w="28575" cmpd="sng">
          <a:solidFill>
            <a:srgbClr val="FFC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/>
            <a:t>Una empresa de seguridad dedicada a brindar servicios de seguridad a distintas tiendas de retail, recopila mensualmente información sobre la merma de productos (pérdidas por robo, error o deterioro).</a:t>
          </a:r>
        </a:p>
        <a:p>
          <a:endParaRPr lang="es-PE" sz="1100"/>
        </a:p>
        <a:p>
          <a:r>
            <a:rPr lang="es-PE" sz="1100"/>
            <a:t>El Jefe de Tienda te ha enviado un archivo Excel con la base de datos del último trimestre y te </a:t>
          </a:r>
          <a:r>
            <a:rPr lang="es-PE" sz="1100" b="1"/>
            <a:t>solicita limpiar, organizar y analizar la información </a:t>
          </a:r>
          <a:r>
            <a:rPr lang="es-PE" sz="1100">
              <a:solidFill>
                <a:srgbClr val="FF0000"/>
              </a:solidFill>
            </a:rPr>
            <a:t>usando herramientas básicas de Excel</a:t>
          </a:r>
          <a:r>
            <a:rPr lang="es-PE" sz="1100"/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4835B-3EE0-4472-91F4-EE00A88293DC}">
  <dimension ref="A8:C28"/>
  <sheetViews>
    <sheetView showGridLines="0" topLeftCell="A4" zoomScale="190" zoomScaleNormal="190" workbookViewId="0">
      <selection activeCell="A33" sqref="A33"/>
    </sheetView>
  </sheetViews>
  <sheetFormatPr baseColWidth="10" defaultColWidth="11.42578125" defaultRowHeight="15" x14ac:dyDescent="0.25"/>
  <cols>
    <col min="1" max="1" width="16.7109375" customWidth="1"/>
  </cols>
  <sheetData>
    <row r="8" spans="1:3" ht="30" customHeight="1" x14ac:dyDescent="0.25">
      <c r="A8" s="1" t="s">
        <v>14</v>
      </c>
    </row>
    <row r="9" spans="1:3" x14ac:dyDescent="0.25">
      <c r="A9" s="7" t="s">
        <v>0</v>
      </c>
    </row>
    <row r="10" spans="1:3" x14ac:dyDescent="0.25">
      <c r="A10" s="2" t="s">
        <v>57</v>
      </c>
    </row>
    <row r="11" spans="1:3" x14ac:dyDescent="0.25">
      <c r="A11" s="2" t="s">
        <v>58</v>
      </c>
    </row>
    <row r="12" spans="1:3" x14ac:dyDescent="0.25">
      <c r="A12" s="2" t="s">
        <v>60</v>
      </c>
    </row>
    <row r="13" spans="1:3" ht="51" customHeight="1" x14ac:dyDescent="0.25">
      <c r="A13" s="17" t="s">
        <v>59</v>
      </c>
      <c r="B13" s="17"/>
      <c r="C13" s="17"/>
    </row>
    <row r="14" spans="1:3" x14ac:dyDescent="0.25">
      <c r="A14" s="2" t="s">
        <v>1</v>
      </c>
    </row>
    <row r="15" spans="1:3" x14ac:dyDescent="0.25">
      <c r="A15" s="2" t="s">
        <v>63</v>
      </c>
    </row>
    <row r="16" spans="1:3" x14ac:dyDescent="0.25">
      <c r="A16" s="2"/>
    </row>
    <row r="17" spans="1:1" ht="18" customHeight="1" x14ac:dyDescent="0.25">
      <c r="A17" s="7" t="s">
        <v>61</v>
      </c>
    </row>
    <row r="18" spans="1:1" x14ac:dyDescent="0.25">
      <c r="A18" s="2" t="s">
        <v>3</v>
      </c>
    </row>
    <row r="19" spans="1:1" x14ac:dyDescent="0.25">
      <c r="A19" s="2" t="s">
        <v>64</v>
      </c>
    </row>
    <row r="20" spans="1:1" x14ac:dyDescent="0.25">
      <c r="A20" s="6" t="s">
        <v>65</v>
      </c>
    </row>
    <row r="21" spans="1:1" x14ac:dyDescent="0.25">
      <c r="A21" s="2"/>
    </row>
    <row r="22" spans="1:1" x14ac:dyDescent="0.25">
      <c r="A22" s="7" t="s">
        <v>62</v>
      </c>
    </row>
    <row r="23" spans="1:1" x14ac:dyDescent="0.25">
      <c r="A23" s="2" t="s">
        <v>2</v>
      </c>
    </row>
    <row r="25" spans="1:1" x14ac:dyDescent="0.25">
      <c r="A25" s="7" t="s">
        <v>4</v>
      </c>
    </row>
    <row r="26" spans="1:1" x14ac:dyDescent="0.25">
      <c r="A26" s="2" t="s">
        <v>5</v>
      </c>
    </row>
    <row r="27" spans="1:1" x14ac:dyDescent="0.25">
      <c r="A27" s="2" t="s">
        <v>6</v>
      </c>
    </row>
    <row r="28" spans="1:1" x14ac:dyDescent="0.25">
      <c r="A28" s="2" t="s">
        <v>66</v>
      </c>
    </row>
  </sheetData>
  <mergeCells count="1">
    <mergeCell ref="A13:C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FBE6B-BC28-406F-A5EA-D620389DD172}">
  <sheetPr>
    <tabColor rgb="FFFFC000"/>
  </sheetPr>
  <dimension ref="A1:Q24"/>
  <sheetViews>
    <sheetView showGridLines="0" tabSelected="1" zoomScaleNormal="100" workbookViewId="0">
      <selection activeCell="D29" sqref="D29"/>
    </sheetView>
  </sheetViews>
  <sheetFormatPr baseColWidth="10" defaultRowHeight="15" x14ac:dyDescent="0.25"/>
  <cols>
    <col min="2" max="2" width="28" customWidth="1"/>
    <col min="3" max="3" width="13.5703125" customWidth="1"/>
    <col min="4" max="4" width="14.85546875" customWidth="1"/>
    <col min="5" max="5" width="12" customWidth="1"/>
    <col min="6" max="6" width="14.85546875" customWidth="1"/>
    <col min="7" max="7" width="15.140625" customWidth="1"/>
    <col min="8" max="8" width="12.7109375" customWidth="1"/>
    <col min="9" max="10" width="15.5703125" style="9" customWidth="1"/>
    <col min="11" max="11" width="24.5703125" style="9" customWidth="1"/>
    <col min="15" max="15" width="13.7109375" customWidth="1"/>
  </cols>
  <sheetData>
    <row r="1" spans="1:17" ht="45" x14ac:dyDescent="0.25">
      <c r="A1" s="3" t="s">
        <v>15</v>
      </c>
      <c r="B1" s="3" t="s">
        <v>7</v>
      </c>
      <c r="C1" s="3" t="s">
        <v>104</v>
      </c>
      <c r="D1" s="3" t="s">
        <v>9</v>
      </c>
      <c r="E1" s="3" t="s">
        <v>8</v>
      </c>
      <c r="F1" s="3" t="s">
        <v>10</v>
      </c>
      <c r="G1" s="3" t="s">
        <v>13</v>
      </c>
      <c r="H1" s="3" t="s">
        <v>16</v>
      </c>
      <c r="I1" s="8" t="s">
        <v>105</v>
      </c>
      <c r="J1" s="3" t="s">
        <v>106</v>
      </c>
      <c r="K1" s="3" t="s">
        <v>109</v>
      </c>
    </row>
    <row r="2" spans="1:17" x14ac:dyDescent="0.25">
      <c r="A2" s="4" t="s">
        <v>17</v>
      </c>
      <c r="B2" s="4" t="s">
        <v>110</v>
      </c>
      <c r="C2" s="4" t="s">
        <v>68</v>
      </c>
      <c r="D2" s="4">
        <v>5</v>
      </c>
      <c r="E2" s="4">
        <v>4.5</v>
      </c>
      <c r="F2" s="4" t="s">
        <v>18</v>
      </c>
      <c r="G2" s="4" t="s">
        <v>19</v>
      </c>
      <c r="H2" s="5">
        <v>45839</v>
      </c>
      <c r="I2" s="10">
        <f>E2*D2</f>
        <v>22.5</v>
      </c>
      <c r="J2" s="11">
        <f>I2/$I$24</f>
        <v>1.79240022305425E-2</v>
      </c>
      <c r="K2" s="16" t="str">
        <f>CONCATENATE(G2,F2)</f>
        <v>juan pérezTottus</v>
      </c>
    </row>
    <row r="3" spans="1:17" x14ac:dyDescent="0.25">
      <c r="A3" s="4" t="s">
        <v>51</v>
      </c>
      <c r="B3" s="4" t="s">
        <v>69</v>
      </c>
      <c r="C3" s="4" t="s">
        <v>70</v>
      </c>
      <c r="D3" s="4">
        <v>12</v>
      </c>
      <c r="E3" s="4">
        <v>3.8</v>
      </c>
      <c r="F3" s="4" t="s">
        <v>52</v>
      </c>
      <c r="G3" s="4" t="s">
        <v>44</v>
      </c>
      <c r="H3" s="5">
        <v>45840</v>
      </c>
      <c r="I3" s="10">
        <f t="shared" ref="I3:I23" si="0">E3*D3</f>
        <v>45.599999999999994</v>
      </c>
      <c r="J3" s="11">
        <f>I3/$I$24</f>
        <v>3.632597785389946E-2</v>
      </c>
      <c r="K3" s="16" t="str">
        <f t="shared" ref="K3:K23" si="1">CONCATENATE(G3,F3)</f>
        <v>Ana RuizPlaza Vea</v>
      </c>
      <c r="M3" s="18" t="s">
        <v>107</v>
      </c>
      <c r="N3" s="18"/>
      <c r="O3" s="18"/>
      <c r="P3" s="19">
        <f>MAX(I2:I23)</f>
        <v>178</v>
      </c>
      <c r="Q3" s="19"/>
    </row>
    <row r="4" spans="1:17" x14ac:dyDescent="0.25">
      <c r="A4" s="4" t="s">
        <v>21</v>
      </c>
      <c r="B4" s="4" t="s">
        <v>71</v>
      </c>
      <c r="C4" s="4" t="s">
        <v>72</v>
      </c>
      <c r="D4" s="4">
        <v>9</v>
      </c>
      <c r="E4" s="4">
        <v>6.2</v>
      </c>
      <c r="F4" s="4" t="s">
        <v>22</v>
      </c>
      <c r="G4" s="4" t="s">
        <v>23</v>
      </c>
      <c r="H4" s="5">
        <v>45843</v>
      </c>
      <c r="I4" s="10">
        <f t="shared" si="0"/>
        <v>55.800000000000004</v>
      </c>
      <c r="J4" s="11">
        <f>I4/$I$24</f>
        <v>4.4451525531745403E-2</v>
      </c>
      <c r="K4" s="16" t="str">
        <f t="shared" si="1"/>
        <v>luis diazmetro</v>
      </c>
    </row>
    <row r="5" spans="1:17" x14ac:dyDescent="0.25">
      <c r="A5" s="4" t="s">
        <v>53</v>
      </c>
      <c r="B5" s="4" t="s">
        <v>73</v>
      </c>
      <c r="C5" s="4" t="s">
        <v>75</v>
      </c>
      <c r="D5" s="4">
        <v>15</v>
      </c>
      <c r="E5" s="4">
        <v>2.9</v>
      </c>
      <c r="F5" s="4" t="s">
        <v>24</v>
      </c>
      <c r="G5" s="4" t="s">
        <v>47</v>
      </c>
      <c r="H5" s="5">
        <v>45843</v>
      </c>
      <c r="I5" s="10">
        <f t="shared" si="0"/>
        <v>43.5</v>
      </c>
      <c r="J5" s="11">
        <f>I5/$I$24</f>
        <v>3.4653070979048836E-2</v>
      </c>
      <c r="K5" s="16" t="str">
        <f t="shared" si="1"/>
        <v>Luis DíazMetro</v>
      </c>
      <c r="M5" s="21">
        <v>2</v>
      </c>
      <c r="N5" s="21"/>
      <c r="O5" s="21"/>
    </row>
    <row r="6" spans="1:17" x14ac:dyDescent="0.25">
      <c r="A6" s="4" t="s">
        <v>25</v>
      </c>
      <c r="B6" s="4" t="s">
        <v>76</v>
      </c>
      <c r="C6" s="4" t="s">
        <v>77</v>
      </c>
      <c r="D6" s="4">
        <v>7</v>
      </c>
      <c r="E6" s="4">
        <v>3.2</v>
      </c>
      <c r="F6" s="4" t="s">
        <v>26</v>
      </c>
      <c r="G6" s="4" t="s">
        <v>27</v>
      </c>
      <c r="H6" s="5">
        <v>45844</v>
      </c>
      <c r="I6" s="10">
        <f t="shared" si="0"/>
        <v>22.400000000000002</v>
      </c>
      <c r="J6" s="11">
        <f>I6/$I$24</f>
        <v>1.7844339998406757E-2</v>
      </c>
      <c r="K6" s="16" t="str">
        <f t="shared" si="1"/>
        <v>elena sotoWong</v>
      </c>
      <c r="M6" s="14" t="s">
        <v>108</v>
      </c>
      <c r="N6" s="14"/>
      <c r="O6" s="14"/>
      <c r="P6" s="19">
        <f>AVERAGE(I2:I23)</f>
        <v>57.059090909090905</v>
      </c>
      <c r="Q6" s="20"/>
    </row>
    <row r="7" spans="1:17" x14ac:dyDescent="0.25">
      <c r="A7" s="4" t="s">
        <v>28</v>
      </c>
      <c r="B7" s="4" t="s">
        <v>78</v>
      </c>
      <c r="C7" s="4" t="s">
        <v>79</v>
      </c>
      <c r="D7" s="4">
        <v>4</v>
      </c>
      <c r="E7" s="4">
        <v>1.5</v>
      </c>
      <c r="F7" s="4" t="s">
        <v>29</v>
      </c>
      <c r="G7" s="4" t="s">
        <v>20</v>
      </c>
      <c r="H7" s="5">
        <v>45846</v>
      </c>
      <c r="I7" s="10">
        <f t="shared" si="0"/>
        <v>6</v>
      </c>
      <c r="J7" s="11">
        <f>I7/$I$24</f>
        <v>4.7797339281446666E-3</v>
      </c>
      <c r="K7" s="16" t="str">
        <f t="shared" si="1"/>
        <v>ana ruizplaza vea</v>
      </c>
    </row>
    <row r="8" spans="1:17" x14ac:dyDescent="0.25">
      <c r="A8" s="4" t="s">
        <v>30</v>
      </c>
      <c r="B8" s="4" t="s">
        <v>80</v>
      </c>
      <c r="C8" s="4" t="s">
        <v>81</v>
      </c>
      <c r="D8" s="4">
        <v>10</v>
      </c>
      <c r="E8" s="4">
        <v>9.9</v>
      </c>
      <c r="F8" s="4" t="s">
        <v>31</v>
      </c>
      <c r="G8" s="4" t="s">
        <v>12</v>
      </c>
      <c r="H8" s="5">
        <v>45847</v>
      </c>
      <c r="I8" s="10">
        <f t="shared" si="0"/>
        <v>99</v>
      </c>
      <c r="J8" s="11">
        <f>I8/$I$24</f>
        <v>7.8865609814387005E-2</v>
      </c>
      <c r="K8" s="16" t="str">
        <f t="shared" si="1"/>
        <v>juan perezTOTTUS</v>
      </c>
    </row>
    <row r="9" spans="1:17" x14ac:dyDescent="0.25">
      <c r="A9" s="4" t="s">
        <v>32</v>
      </c>
      <c r="B9" s="4" t="s">
        <v>82</v>
      </c>
      <c r="C9" s="4" t="s">
        <v>83</v>
      </c>
      <c r="D9" s="4">
        <v>3</v>
      </c>
      <c r="E9" s="4">
        <v>14.5</v>
      </c>
      <c r="F9" s="4" t="s">
        <v>33</v>
      </c>
      <c r="G9" s="4" t="s">
        <v>20</v>
      </c>
      <c r="H9" s="5">
        <v>45847</v>
      </c>
      <c r="I9" s="10">
        <f t="shared" si="0"/>
        <v>43.5</v>
      </c>
      <c r="J9" s="11">
        <f>I9/$I$24</f>
        <v>3.4653070979048836E-2</v>
      </c>
      <c r="K9" s="16" t="str">
        <f t="shared" si="1"/>
        <v>ana ruizPLAZA VEA</v>
      </c>
    </row>
    <row r="10" spans="1:17" x14ac:dyDescent="0.25">
      <c r="A10" s="4" t="s">
        <v>49</v>
      </c>
      <c r="B10" s="4" t="s">
        <v>84</v>
      </c>
      <c r="C10" s="4" t="s">
        <v>70</v>
      </c>
      <c r="D10" s="4">
        <v>10</v>
      </c>
      <c r="E10" s="4">
        <v>9.9</v>
      </c>
      <c r="F10" s="4" t="s">
        <v>42</v>
      </c>
      <c r="G10" s="4" t="s">
        <v>12</v>
      </c>
      <c r="H10" s="5">
        <v>45847</v>
      </c>
      <c r="I10" s="10">
        <f t="shared" si="0"/>
        <v>99</v>
      </c>
      <c r="J10" s="11">
        <f>I10/$I$24</f>
        <v>7.8865609814387005E-2</v>
      </c>
      <c r="K10" s="16" t="str">
        <f t="shared" si="1"/>
        <v>juan pereztottus</v>
      </c>
    </row>
    <row r="11" spans="1:17" x14ac:dyDescent="0.25">
      <c r="A11" s="4" t="s">
        <v>46</v>
      </c>
      <c r="B11" s="4" t="s">
        <v>111</v>
      </c>
      <c r="C11" s="4" t="s">
        <v>85</v>
      </c>
      <c r="D11" s="4">
        <v>6</v>
      </c>
      <c r="E11" s="4">
        <v>4.7</v>
      </c>
      <c r="F11" s="4" t="s">
        <v>24</v>
      </c>
      <c r="G11" s="4" t="s">
        <v>47</v>
      </c>
      <c r="H11" s="5">
        <v>45848</v>
      </c>
      <c r="I11" s="10">
        <f t="shared" si="0"/>
        <v>28.200000000000003</v>
      </c>
      <c r="J11" s="11">
        <f>I11/$I$24</f>
        <v>2.2464749462279936E-2</v>
      </c>
      <c r="K11" s="16" t="str">
        <f t="shared" si="1"/>
        <v>Luis DíazMetro</v>
      </c>
    </row>
    <row r="12" spans="1:17" x14ac:dyDescent="0.25">
      <c r="A12" s="4" t="s">
        <v>50</v>
      </c>
      <c r="B12" s="4" t="s">
        <v>86</v>
      </c>
      <c r="C12" s="4" t="s">
        <v>88</v>
      </c>
      <c r="D12" s="4">
        <v>8</v>
      </c>
      <c r="E12" s="4">
        <v>5.5</v>
      </c>
      <c r="F12" s="4" t="s">
        <v>34</v>
      </c>
      <c r="G12" s="4" t="s">
        <v>11</v>
      </c>
      <c r="H12" s="5">
        <v>45849</v>
      </c>
      <c r="I12" s="10">
        <f t="shared" si="0"/>
        <v>44</v>
      </c>
      <c r="J12" s="11">
        <f>I12/$I$24</f>
        <v>3.5051382139727555E-2</v>
      </c>
      <c r="K12" s="16" t="str">
        <f t="shared" si="1"/>
        <v>Juan PéreztOttuS</v>
      </c>
    </row>
    <row r="13" spans="1:17" x14ac:dyDescent="0.25">
      <c r="A13" s="4" t="s">
        <v>35</v>
      </c>
      <c r="B13" s="4" t="s">
        <v>89</v>
      </c>
      <c r="C13" s="4" t="s">
        <v>90</v>
      </c>
      <c r="D13" s="4">
        <v>18</v>
      </c>
      <c r="E13" s="4">
        <v>9.8000000000000007</v>
      </c>
      <c r="F13" s="4" t="s">
        <v>36</v>
      </c>
      <c r="G13" s="4" t="s">
        <v>37</v>
      </c>
      <c r="H13" s="5">
        <v>45850</v>
      </c>
      <c r="I13" s="10">
        <f t="shared" si="0"/>
        <v>176.4</v>
      </c>
      <c r="J13" s="11">
        <f>I13/$I$24</f>
        <v>0.14052417748745322</v>
      </c>
      <c r="K13" s="16" t="str">
        <f t="shared" si="1"/>
        <v>ELENA SOTOwong</v>
      </c>
    </row>
    <row r="14" spans="1:17" x14ac:dyDescent="0.25">
      <c r="A14" s="4" t="s">
        <v>54</v>
      </c>
      <c r="B14" s="4" t="s">
        <v>67</v>
      </c>
      <c r="C14" s="4" t="s">
        <v>91</v>
      </c>
      <c r="D14" s="4">
        <v>25</v>
      </c>
      <c r="E14" s="4">
        <v>6.9</v>
      </c>
      <c r="F14" s="4" t="s">
        <v>24</v>
      </c>
      <c r="G14" s="4" t="s">
        <v>47</v>
      </c>
      <c r="H14" s="5">
        <v>45851</v>
      </c>
      <c r="I14" s="10">
        <f t="shared" si="0"/>
        <v>172.5</v>
      </c>
      <c r="J14" s="11">
        <f>I14/$I$24</f>
        <v>0.13741735043415917</v>
      </c>
      <c r="K14" s="16" t="str">
        <f t="shared" si="1"/>
        <v>Luis DíazMetro</v>
      </c>
    </row>
    <row r="15" spans="1:17" x14ac:dyDescent="0.25">
      <c r="A15" s="4" t="s">
        <v>38</v>
      </c>
      <c r="B15" s="4" t="s">
        <v>93</v>
      </c>
      <c r="C15" s="4" t="s">
        <v>92</v>
      </c>
      <c r="D15" s="4">
        <v>3</v>
      </c>
      <c r="E15" s="4">
        <v>7.9</v>
      </c>
      <c r="F15" s="4" t="s">
        <v>34</v>
      </c>
      <c r="G15" s="4" t="s">
        <v>19</v>
      </c>
      <c r="H15" s="5">
        <v>45852</v>
      </c>
      <c r="I15" s="10">
        <f t="shared" si="0"/>
        <v>23.700000000000003</v>
      </c>
      <c r="J15" s="11">
        <f>I15/$I$24</f>
        <v>1.8879949016171436E-2</v>
      </c>
      <c r="K15" s="16" t="str">
        <f t="shared" si="1"/>
        <v>juan péreztOttuS</v>
      </c>
    </row>
    <row r="16" spans="1:17" x14ac:dyDescent="0.25">
      <c r="A16" s="4" t="s">
        <v>55</v>
      </c>
      <c r="B16" s="4" t="s">
        <v>94</v>
      </c>
      <c r="C16" s="4" t="s">
        <v>92</v>
      </c>
      <c r="D16" s="4">
        <v>4</v>
      </c>
      <c r="E16" s="4">
        <v>7.5</v>
      </c>
      <c r="F16" s="4" t="s">
        <v>18</v>
      </c>
      <c r="G16" s="4" t="s">
        <v>11</v>
      </c>
      <c r="H16" s="5">
        <v>45852</v>
      </c>
      <c r="I16" s="10">
        <f t="shared" si="0"/>
        <v>30</v>
      </c>
      <c r="J16" s="11">
        <f>I16/$I$24</f>
        <v>2.3898669640723333E-2</v>
      </c>
      <c r="K16" s="16" t="str">
        <f t="shared" si="1"/>
        <v>Juan PérezTottus</v>
      </c>
    </row>
    <row r="17" spans="1:11" x14ac:dyDescent="0.25">
      <c r="A17" s="4" t="s">
        <v>39</v>
      </c>
      <c r="B17" s="4" t="s">
        <v>95</v>
      </c>
      <c r="C17" s="4" t="s">
        <v>96</v>
      </c>
      <c r="D17" s="4">
        <v>11</v>
      </c>
      <c r="E17" s="4">
        <v>1.8</v>
      </c>
      <c r="F17" s="4" t="s">
        <v>26</v>
      </c>
      <c r="G17" s="4" t="s">
        <v>27</v>
      </c>
      <c r="H17" s="5">
        <v>45853</v>
      </c>
      <c r="I17" s="10">
        <f t="shared" si="0"/>
        <v>19.8</v>
      </c>
      <c r="J17" s="11">
        <f>I17/$I$24</f>
        <v>1.57731219628774E-2</v>
      </c>
      <c r="K17" s="16" t="str">
        <f t="shared" si="1"/>
        <v>elena sotoWong</v>
      </c>
    </row>
    <row r="18" spans="1:11" x14ac:dyDescent="0.25">
      <c r="A18" s="4" t="s">
        <v>40</v>
      </c>
      <c r="B18" s="4" t="s">
        <v>97</v>
      </c>
      <c r="C18" s="4" t="s">
        <v>70</v>
      </c>
      <c r="D18" s="4">
        <v>13</v>
      </c>
      <c r="E18" s="4">
        <v>3.9</v>
      </c>
      <c r="F18" s="4" t="s">
        <v>24</v>
      </c>
      <c r="G18" s="4" t="s">
        <v>23</v>
      </c>
      <c r="H18" s="5">
        <v>45853</v>
      </c>
      <c r="I18" s="10">
        <f t="shared" si="0"/>
        <v>50.699999999999996</v>
      </c>
      <c r="J18" s="11">
        <f>I18/$I$24</f>
        <v>4.0388751692822432E-2</v>
      </c>
      <c r="K18" s="16" t="str">
        <f t="shared" si="1"/>
        <v>luis diazMetro</v>
      </c>
    </row>
    <row r="19" spans="1:11" x14ac:dyDescent="0.25">
      <c r="A19" s="4" t="s">
        <v>41</v>
      </c>
      <c r="B19" s="4" t="s">
        <v>98</v>
      </c>
      <c r="C19" s="4" t="s">
        <v>74</v>
      </c>
      <c r="D19" s="4">
        <v>6</v>
      </c>
      <c r="E19" s="4">
        <v>3</v>
      </c>
      <c r="F19" s="4" t="s">
        <v>42</v>
      </c>
      <c r="G19" s="4" t="s">
        <v>12</v>
      </c>
      <c r="H19" s="5">
        <v>45854</v>
      </c>
      <c r="I19" s="10">
        <f t="shared" si="0"/>
        <v>18</v>
      </c>
      <c r="J19" s="11">
        <f>I19/$I$24</f>
        <v>1.4339201784434E-2</v>
      </c>
      <c r="K19" s="16" t="str">
        <f t="shared" si="1"/>
        <v>juan pereztottus</v>
      </c>
    </row>
    <row r="20" spans="1:11" x14ac:dyDescent="0.25">
      <c r="A20" s="4" t="s">
        <v>43</v>
      </c>
      <c r="B20" s="4" t="s">
        <v>99</v>
      </c>
      <c r="C20" s="4" t="s">
        <v>75</v>
      </c>
      <c r="D20" s="4">
        <v>9</v>
      </c>
      <c r="E20" s="4">
        <v>3.4</v>
      </c>
      <c r="F20" s="4" t="s">
        <v>29</v>
      </c>
      <c r="G20" s="4" t="s">
        <v>44</v>
      </c>
      <c r="H20" s="5">
        <v>45854</v>
      </c>
      <c r="I20" s="10">
        <f t="shared" si="0"/>
        <v>30.599999999999998</v>
      </c>
      <c r="J20" s="11">
        <f>I20/$I$24</f>
        <v>2.4376643033537797E-2</v>
      </c>
      <c r="K20" s="16" t="str">
        <f t="shared" si="1"/>
        <v>Ana Ruizplaza vea</v>
      </c>
    </row>
    <row r="21" spans="1:11" x14ac:dyDescent="0.25">
      <c r="A21" s="4" t="s">
        <v>45</v>
      </c>
      <c r="B21" s="4" t="s">
        <v>100</v>
      </c>
      <c r="C21" s="4" t="s">
        <v>101</v>
      </c>
      <c r="D21" s="4">
        <v>5</v>
      </c>
      <c r="E21" s="4">
        <v>6.5</v>
      </c>
      <c r="F21" s="4" t="s">
        <v>22</v>
      </c>
      <c r="G21" s="4" t="s">
        <v>23</v>
      </c>
      <c r="H21" s="5">
        <v>45855</v>
      </c>
      <c r="I21" s="10">
        <f t="shared" si="0"/>
        <v>32.5</v>
      </c>
      <c r="J21" s="11">
        <f>I21/$I$24</f>
        <v>2.5890225444116944E-2</v>
      </c>
      <c r="K21" s="16" t="str">
        <f t="shared" si="1"/>
        <v>luis diazmetro</v>
      </c>
    </row>
    <row r="22" spans="1:11" x14ac:dyDescent="0.25">
      <c r="A22" s="4" t="s">
        <v>56</v>
      </c>
      <c r="B22" s="4" t="s">
        <v>102</v>
      </c>
      <c r="C22" s="4" t="s">
        <v>101</v>
      </c>
      <c r="D22" s="4">
        <v>2</v>
      </c>
      <c r="E22" s="4">
        <v>6.8</v>
      </c>
      <c r="F22" s="4" t="s">
        <v>36</v>
      </c>
      <c r="G22" s="4" t="s">
        <v>27</v>
      </c>
      <c r="H22" s="5">
        <v>45855</v>
      </c>
      <c r="I22" s="10">
        <f t="shared" si="0"/>
        <v>13.6</v>
      </c>
      <c r="J22" s="11">
        <f>I22/$I$24</f>
        <v>1.0834063570461244E-2</v>
      </c>
      <c r="K22" s="16" t="str">
        <f t="shared" si="1"/>
        <v>elena sotowong</v>
      </c>
    </row>
    <row r="23" spans="1:11" x14ac:dyDescent="0.25">
      <c r="A23" s="4" t="s">
        <v>48</v>
      </c>
      <c r="B23" s="4" t="s">
        <v>103</v>
      </c>
      <c r="C23" s="4" t="s">
        <v>87</v>
      </c>
      <c r="D23" s="4">
        <v>20</v>
      </c>
      <c r="E23" s="4">
        <v>8.9</v>
      </c>
      <c r="F23" s="4" t="s">
        <v>24</v>
      </c>
      <c r="G23" s="4" t="s">
        <v>23</v>
      </c>
      <c r="H23" s="5">
        <v>45856</v>
      </c>
      <c r="I23" s="10">
        <f t="shared" si="0"/>
        <v>178</v>
      </c>
      <c r="J23" s="11">
        <f>I23/$I$24</f>
        <v>0.14179877320162512</v>
      </c>
      <c r="K23" s="16" t="str">
        <f t="shared" si="1"/>
        <v>luis diazMetro</v>
      </c>
    </row>
    <row r="24" spans="1:11" x14ac:dyDescent="0.25">
      <c r="I24" s="13">
        <f>SUM(I2:I23)</f>
        <v>1255.3</v>
      </c>
      <c r="J24" s="12">
        <f>SUM(J2:J23)</f>
        <v>1</v>
      </c>
      <c r="K24" s="15"/>
    </row>
  </sheetData>
  <autoFilter ref="A1:K1" xr:uid="{9F6FBE6B-BC28-406F-A5EA-D620389DD172}"/>
  <mergeCells count="4">
    <mergeCell ref="M3:O3"/>
    <mergeCell ref="P3:Q3"/>
    <mergeCell ref="P6:Q6"/>
    <mergeCell ref="M5:O5"/>
  </mergeCells>
  <conditionalFormatting sqref="D1:D1048576">
    <cfRule type="cellIs" dxfId="1" priority="1" operator="greaterThan">
      <formula>10</formula>
    </cfRule>
  </conditionalFormatting>
  <conditionalFormatting sqref="D2:D23">
    <cfRule type="cellIs" dxfId="0" priority="2" operator="greaterThan">
      <formula>10</formula>
    </cfRule>
  </conditionalFormatting>
  <pageMargins left="0.7" right="0.7" top="0.75" bottom="0.75" header="0.3" footer="0.3"/>
  <pageSetup paperSize="0" orientation="portrait" horizontalDpi="0" verticalDpi="0" copie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834C19900DF4D87A3CBDFC4D28858" ma:contentTypeVersion="13" ma:contentTypeDescription="Crear nuevo documento." ma:contentTypeScope="" ma:versionID="8f62d1b1f0657cf1509321e78f7d5fec">
  <xsd:schema xmlns:xsd="http://www.w3.org/2001/XMLSchema" xmlns:xs="http://www.w3.org/2001/XMLSchema" xmlns:p="http://schemas.microsoft.com/office/2006/metadata/properties" xmlns:ns2="ec3cfac1-2e30-41e1-a213-091c7d753d50" xmlns:ns3="1c539177-8fc4-428b-9c9b-97a4ab9e3937" targetNamespace="http://schemas.microsoft.com/office/2006/metadata/properties" ma:root="true" ma:fieldsID="a195fe9b816ee092974261f8f369e7a3" ns2:_="" ns3:_="">
    <xsd:import namespace="ec3cfac1-2e30-41e1-a213-091c7d753d50"/>
    <xsd:import namespace="1c539177-8fc4-428b-9c9b-97a4ab9e3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cfac1-2e30-41e1-a213-091c7d753d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71880f9-edb5-431c-9173-a8f5fa3e1c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39177-8fc4-428b-9c9b-97a4ab9e39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39838ee-76b5-41b5-9f9c-e0755d82c32f}" ma:internalName="TaxCatchAll" ma:showField="CatchAllData" ma:web="1c539177-8fc4-428b-9c9b-97a4ab9e3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539177-8fc4-428b-9c9b-97a4ab9e3937" xsi:nil="true"/>
    <lcf76f155ced4ddcb4097134ff3c332f xmlns="ec3cfac1-2e30-41e1-a213-091c7d753d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2FA8BB-D112-434A-95B4-F161B53791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3cfac1-2e30-41e1-a213-091c7d753d50"/>
    <ds:schemaRef ds:uri="1c539177-8fc4-428b-9c9b-97a4ab9e393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FC3341-67A4-431F-9E7C-2ABABB910B5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A9AD1-BEB2-4273-BDB8-61C8DDC8E3CE}">
  <ds:schemaRefs>
    <ds:schemaRef ds:uri="http://schemas.microsoft.com/office/2006/metadata/properties"/>
    <ds:schemaRef ds:uri="http://schemas.microsoft.com/office/infopath/2007/PartnerControls"/>
    <ds:schemaRef ds:uri="1c539177-8fc4-428b-9c9b-97a4ab9e3937"/>
    <ds:schemaRef ds:uri="ec3cfac1-2e30-41e1-a213-091c7d753d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Caso</vt:lpstr>
      <vt:lpstr>BD Merma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Quispe - ISEG PERÚ</dc:creator>
  <cp:keywords/>
  <dc:description/>
  <cp:lastModifiedBy>HP</cp:lastModifiedBy>
  <cp:revision/>
  <dcterms:created xsi:type="dcterms:W3CDTF">2025-04-28T01:50:46Z</dcterms:created>
  <dcterms:modified xsi:type="dcterms:W3CDTF">2025-11-01T18:44:57Z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0x010100457834C19900DF4D87A3CBDFC4D28858</vt:lpwstr>
  </property>
  <property fmtid="{D5CDD505-2E9C-101B-9397-08002B2CF9AE}" pid="3" name="MediaServiceImageTags">
    <vt:lpwstr/>
  </property>
</Properties>
</file>